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Valuation Activity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NPV Formula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%"/>
    <numFmt numFmtId="165" formatCode="$#,##0"/>
    <numFmt numFmtId="166" formatCode="$#,##0;[Red]-$#,##0"/>
  </numFmts>
  <fonts count="5">
    <font>
      <name val="Calibri"/>
      <family val="2"/>
      <color theme="1"/>
      <sz val="11"/>
      <scheme val="minor"/>
    </font>
    <font>
      <b val="1"/>
      <sz val="16"/>
    </font>
    <font>
      <b val="1"/>
      <color rgb="001F4E78"/>
      <sz val="13"/>
    </font>
    <font>
      <b val="1"/>
    </font>
    <font>
      <b val="1"/>
      <color rgb="00FFFFFF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1F4E78"/>
      </patternFill>
    </fill>
    <fill>
      <patternFill patternType="solid">
        <fgColor rgb="00F2F6FA"/>
      </patternFill>
    </fill>
  </fills>
  <borders count="2">
    <border>
      <left/>
      <right/>
      <top/>
      <bottom/>
      <diagonal/>
    </border>
    <border>
      <left style="thin">
        <color rgb="00D9E2F3"/>
      </left>
      <right style="thin">
        <color rgb="00D9E2F3"/>
      </right>
      <top style="thin">
        <color rgb="00D9E2F3"/>
      </top>
      <bottom style="thin">
        <color rgb="00D9E2F3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pivotButton="0" quotePrefix="0" xfId="0"/>
    <xf numFmtId="164" fontId="0" fillId="0" borderId="1" pivotButton="0" quotePrefix="0" xfId="0"/>
    <xf numFmtId="165" fontId="0" fillId="0" borderId="1" pivotButton="0" quotePrefix="0" xfId="0"/>
    <xf numFmtId="0" fontId="4" fillId="3" borderId="1" applyAlignment="1" pivotButton="0" quotePrefix="0" xfId="0">
      <alignment horizontal="center"/>
    </xf>
    <xf numFmtId="0" fontId="0" fillId="4" borderId="1" pivotButton="0" quotePrefix="0" xfId="0"/>
    <xf numFmtId="166" fontId="0" fillId="4" borderId="1" pivotButton="0" quotePrefix="0" xfId="0"/>
    <xf numFmtId="0" fontId="0" fillId="0" borderId="1" pivotButton="0" quotePrefix="0" xfId="0"/>
    <xf numFmtId="166" fontId="0" fillId="0" borderId="1" pivotButton="0" quotePrefix="0" xfId="0"/>
    <xf numFmtId="166" fontId="0" fillId="2" borderId="1" pivotButton="0" quotePrefix="0" xfId="0"/>
    <xf numFmtId="0" fontId="0" fillId="2" borderId="1" pivotButton="0" quotePrefix="0" xfId="0"/>
    <xf numFmtId="0" fontId="4" fillId="3" borderId="1" pivotButton="0" quotePrefix="0" xfId="0"/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5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CBCS240 Local Business Valuation Activity</t>
        </is>
      </c>
    </row>
    <row r="2">
      <c r="A2" t="inlineStr">
        <is>
          <t>Use the discount rate as each business's required return / risk-adjusted cost of capital.</t>
        </is>
      </c>
    </row>
    <row r="3">
      <c r="A3" t="inlineStr">
        <is>
          <t>Formula used: Present Value = Future Cash Flow / (1 + discount rate) ^ year</t>
        </is>
      </c>
    </row>
    <row r="5">
      <c r="A5" s="2" t="inlineStr">
        <is>
          <t>Elsah Coffee Cart</t>
        </is>
      </c>
      <c r="B5" t="inlineStr">
        <is>
          <t>Low risk: steady local demand, simple operations, limited growth.</t>
        </is>
      </c>
    </row>
    <row r="6">
      <c r="A6" s="3" t="inlineStr">
        <is>
          <t>Discount Rate</t>
        </is>
      </c>
      <c r="B6" s="3" t="inlineStr">
        <is>
          <t>Asking Price</t>
        </is>
      </c>
    </row>
    <row r="7">
      <c r="A7" s="4" t="n">
        <v>0.08</v>
      </c>
      <c r="B7" s="5" t="n">
        <v>92000</v>
      </c>
    </row>
    <row r="9">
      <c r="A9" s="6" t="inlineStr">
        <is>
          <t>Year</t>
        </is>
      </c>
      <c r="B9" s="6" t="inlineStr">
        <is>
          <t>Expected Cash Flow</t>
        </is>
      </c>
      <c r="C9" s="6" t="inlineStr">
        <is>
          <t>PV Formula</t>
        </is>
      </c>
      <c r="D9" s="6" t="inlineStr">
        <is>
          <t>Present Value</t>
        </is>
      </c>
    </row>
    <row r="10">
      <c r="A10" s="7" t="n">
        <v>1</v>
      </c>
      <c r="B10" s="8" t="n">
        <v>22000</v>
      </c>
      <c r="C10" s="7">
        <f>B10/(1+$A$7)^A10</f>
        <v/>
      </c>
      <c r="D10" s="8">
        <f>B10/(1+$A$7)^A10</f>
        <v/>
      </c>
    </row>
    <row r="11">
      <c r="A11" s="9" t="n">
        <v>2</v>
      </c>
      <c r="B11" s="10" t="n">
        <v>24000</v>
      </c>
      <c r="C11" s="9">
        <f>B11/(1+$A$7)^A11</f>
        <v/>
      </c>
      <c r="D11" s="10">
        <f>B11/(1+$A$7)^A11</f>
        <v/>
      </c>
    </row>
    <row r="12">
      <c r="A12" s="7" t="n">
        <v>3</v>
      </c>
      <c r="B12" s="8" t="n">
        <v>25000</v>
      </c>
      <c r="C12" s="7">
        <f>B12/(1+$A$7)^A12</f>
        <v/>
      </c>
      <c r="D12" s="8">
        <f>B12/(1+$A$7)^A12</f>
        <v/>
      </c>
    </row>
    <row r="13">
      <c r="A13" s="9" t="n">
        <v>4</v>
      </c>
      <c r="B13" s="10" t="n">
        <v>26000</v>
      </c>
      <c r="C13" s="9">
        <f>B13/(1+$A$7)^A13</f>
        <v/>
      </c>
      <c r="D13" s="10">
        <f>B13/(1+$A$7)^A13</f>
        <v/>
      </c>
    </row>
    <row r="14">
      <c r="A14" s="7" t="n">
        <v>5</v>
      </c>
      <c r="B14" s="8" t="n">
        <v>27000</v>
      </c>
      <c r="C14" s="7">
        <f>B14/(1+$A$7)^A14</f>
        <v/>
      </c>
      <c r="D14" s="8">
        <f>B14/(1+$A$7)^A14</f>
        <v/>
      </c>
    </row>
    <row r="15">
      <c r="C15" s="3" t="inlineStr">
        <is>
          <t>Total Present Value</t>
        </is>
      </c>
      <c r="D15" s="11">
        <f>SUM(D10:D14)</f>
        <v/>
      </c>
    </row>
    <row r="16">
      <c r="C16" s="3" t="inlineStr">
        <is>
          <t>Asking Price</t>
        </is>
      </c>
      <c r="D16" s="11">
        <f>$B$7</f>
        <v/>
      </c>
    </row>
    <row r="17">
      <c r="C17" s="3" t="inlineStr">
        <is>
          <t>Value Minus Asking Price</t>
        </is>
      </c>
      <c r="D17" s="11">
        <f>D15-D16</f>
        <v/>
      </c>
    </row>
    <row r="18">
      <c r="C18" s="3" t="inlineStr">
        <is>
          <t>Decision</t>
        </is>
      </c>
      <c r="D18" s="12">
        <f>IF(D17&gt;0,"Looks undervalued","Looks overvalued")</f>
        <v/>
      </c>
    </row>
    <row r="21">
      <c r="A21" s="2" t="inlineStr">
        <is>
          <t>Riverbend HVAC Service</t>
        </is>
      </c>
      <c r="B21" t="inlineStr">
        <is>
          <t>Moderate risk: strong demand, but depends on skilled labor, service quality, and scheduling.</t>
        </is>
      </c>
    </row>
    <row r="22">
      <c r="A22" s="3" t="inlineStr">
        <is>
          <t>Discount Rate</t>
        </is>
      </c>
      <c r="B22" s="3" t="inlineStr">
        <is>
          <t>Asking Price</t>
        </is>
      </c>
    </row>
    <row r="23">
      <c r="A23" s="4" t="n">
        <v>0.14</v>
      </c>
      <c r="B23" s="5" t="n">
        <v>165000</v>
      </c>
    </row>
    <row r="25">
      <c r="A25" s="6" t="inlineStr">
        <is>
          <t>Year</t>
        </is>
      </c>
      <c r="B25" s="6" t="inlineStr">
        <is>
          <t>Expected Cash Flow</t>
        </is>
      </c>
      <c r="C25" s="6" t="inlineStr">
        <is>
          <t>PV Formula</t>
        </is>
      </c>
      <c r="D25" s="6" t="inlineStr">
        <is>
          <t>Present Value</t>
        </is>
      </c>
    </row>
    <row r="26">
      <c r="A26" s="7" t="n">
        <v>1</v>
      </c>
      <c r="B26" s="8" t="n">
        <v>38000</v>
      </c>
      <c r="C26" s="7">
        <f>B26/(1+$A$23)^A26</f>
        <v/>
      </c>
      <c r="D26" s="8">
        <f>B26/(1+$A$23)^A26</f>
        <v/>
      </c>
    </row>
    <row r="27">
      <c r="A27" s="9" t="n">
        <v>2</v>
      </c>
      <c r="B27" s="10" t="n">
        <v>44000</v>
      </c>
      <c r="C27" s="9">
        <f>B27/(1+$A$23)^A27</f>
        <v/>
      </c>
      <c r="D27" s="10">
        <f>B27/(1+$A$23)^A27</f>
        <v/>
      </c>
    </row>
    <row r="28">
      <c r="A28" s="7" t="n">
        <v>3</v>
      </c>
      <c r="B28" s="8" t="n">
        <v>52000</v>
      </c>
      <c r="C28" s="7">
        <f>B28/(1+$A$23)^A28</f>
        <v/>
      </c>
      <c r="D28" s="8">
        <f>B28/(1+$A$23)^A28</f>
        <v/>
      </c>
    </row>
    <row r="29">
      <c r="A29" s="9" t="n">
        <v>4</v>
      </c>
      <c r="B29" s="10" t="n">
        <v>60000</v>
      </c>
      <c r="C29" s="9">
        <f>B29/(1+$A$23)^A29</f>
        <v/>
      </c>
      <c r="D29" s="10">
        <f>B29/(1+$A$23)^A29</f>
        <v/>
      </c>
    </row>
    <row r="30">
      <c r="A30" s="7" t="n">
        <v>5</v>
      </c>
      <c r="B30" s="8" t="n">
        <v>68000</v>
      </c>
      <c r="C30" s="7">
        <f>B30/(1+$A$23)^A30</f>
        <v/>
      </c>
      <c r="D30" s="8">
        <f>B30/(1+$A$23)^A30</f>
        <v/>
      </c>
    </row>
    <row r="31">
      <c r="C31" s="3" t="inlineStr">
        <is>
          <t>Total Present Value</t>
        </is>
      </c>
      <c r="D31" s="11">
        <f>SUM(D26:D30)</f>
        <v/>
      </c>
    </row>
    <row r="32">
      <c r="C32" s="3" t="inlineStr">
        <is>
          <t>Asking Price</t>
        </is>
      </c>
      <c r="D32" s="11">
        <f>$B$23</f>
        <v/>
      </c>
    </row>
    <row r="33">
      <c r="C33" s="3" t="inlineStr">
        <is>
          <t>Value Minus Asking Price</t>
        </is>
      </c>
      <c r="D33" s="11">
        <f>D31-D32</f>
        <v/>
      </c>
    </row>
    <row r="34">
      <c r="C34" s="3" t="inlineStr">
        <is>
          <t>Decision</t>
        </is>
      </c>
      <c r="D34" s="12">
        <f>IF(D33&gt;0,"Looks undervalued","Looks overvalued")</f>
        <v/>
      </c>
    </row>
    <row r="37">
      <c r="A37" s="2" t="inlineStr">
        <is>
          <t>Campus Gear Rental App</t>
        </is>
      </c>
      <c r="B37" t="inlineStr">
        <is>
          <t>High risk: startup-style adoption, software, inventory, theft/loss, and scaling uncertainty.</t>
        </is>
      </c>
    </row>
    <row r="38">
      <c r="A38" s="3" t="inlineStr">
        <is>
          <t>Discount Rate</t>
        </is>
      </c>
      <c r="B38" s="3" t="inlineStr">
        <is>
          <t>Asking Price</t>
        </is>
      </c>
    </row>
    <row r="39">
      <c r="A39" s="4" t="n">
        <v>0.24</v>
      </c>
      <c r="B39" s="5" t="n">
        <v>110000</v>
      </c>
    </row>
    <row r="41">
      <c r="A41" s="6" t="inlineStr">
        <is>
          <t>Year</t>
        </is>
      </c>
      <c r="B41" s="6" t="inlineStr">
        <is>
          <t>Expected Cash Flow</t>
        </is>
      </c>
      <c r="C41" s="6" t="inlineStr">
        <is>
          <t>PV Formula</t>
        </is>
      </c>
      <c r="D41" s="6" t="inlineStr">
        <is>
          <t>Present Value</t>
        </is>
      </c>
    </row>
    <row r="42">
      <c r="A42" s="7" t="n">
        <v>1</v>
      </c>
      <c r="B42" s="8" t="n">
        <v>-8000</v>
      </c>
      <c r="C42" s="7">
        <f>B42/(1+$A$39)^A42</f>
        <v/>
      </c>
      <c r="D42" s="8">
        <f>B42/(1+$A$39)^A42</f>
        <v/>
      </c>
    </row>
    <row r="43">
      <c r="A43" s="9" t="n">
        <v>2</v>
      </c>
      <c r="B43" s="10" t="n">
        <v>12000</v>
      </c>
      <c r="C43" s="9">
        <f>B43/(1+$A$39)^A43</f>
        <v/>
      </c>
      <c r="D43" s="10">
        <f>B43/(1+$A$39)^A43</f>
        <v/>
      </c>
    </row>
    <row r="44">
      <c r="A44" s="7" t="n">
        <v>3</v>
      </c>
      <c r="B44" s="8" t="n">
        <v>34000</v>
      </c>
      <c r="C44" s="7">
        <f>B44/(1+$A$39)^A44</f>
        <v/>
      </c>
      <c r="D44" s="8">
        <f>B44/(1+$A$39)^A44</f>
        <v/>
      </c>
    </row>
    <row r="45">
      <c r="A45" s="9" t="n">
        <v>4</v>
      </c>
      <c r="B45" s="10" t="n">
        <v>75000</v>
      </c>
      <c r="C45" s="9">
        <f>B45/(1+$A$39)^A45</f>
        <v/>
      </c>
      <c r="D45" s="10">
        <f>B45/(1+$A$39)^A45</f>
        <v/>
      </c>
    </row>
    <row r="46">
      <c r="A46" s="7" t="n">
        <v>5</v>
      </c>
      <c r="B46" s="8" t="n">
        <v>130000</v>
      </c>
      <c r="C46" s="7">
        <f>B46/(1+$A$39)^A46</f>
        <v/>
      </c>
      <c r="D46" s="8">
        <f>B46/(1+$A$39)^A46</f>
        <v/>
      </c>
    </row>
    <row r="47">
      <c r="C47" s="3" t="inlineStr">
        <is>
          <t>Total Present Value</t>
        </is>
      </c>
      <c r="D47" s="11">
        <f>SUM(D42:D46)</f>
        <v/>
      </c>
    </row>
    <row r="48">
      <c r="C48" s="3" t="inlineStr">
        <is>
          <t>Asking Price</t>
        </is>
      </c>
      <c r="D48" s="11">
        <f>$B$39</f>
        <v/>
      </c>
    </row>
    <row r="49">
      <c r="C49" s="3" t="inlineStr">
        <is>
          <t>Value Minus Asking Price</t>
        </is>
      </c>
      <c r="D49" s="11">
        <f>D47-D48</f>
        <v/>
      </c>
    </row>
    <row r="50">
      <c r="C50" s="3" t="inlineStr">
        <is>
          <t>Decision</t>
        </is>
      </c>
      <c r="D50" s="12">
        <f>IF(D49&gt;0,"Looks undervalued","Looks overvalued")</f>
        <v/>
      </c>
    </row>
  </sheetData>
  <mergeCells count="3">
    <mergeCell ref="B21:F21"/>
    <mergeCell ref="B37:F37"/>
    <mergeCell ref="B5:F5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</cols>
  <sheetData>
    <row r="1">
      <c r="A1" s="1" t="inlineStr">
        <is>
          <t>Business Valuation Summary</t>
        </is>
      </c>
    </row>
    <row r="3">
      <c r="A3" s="13" t="inlineStr">
        <is>
          <t>Business</t>
        </is>
      </c>
      <c r="B3" s="13" t="inlineStr">
        <is>
          <t>Discount Rate</t>
        </is>
      </c>
      <c r="C3" s="13" t="inlineStr">
        <is>
          <t>Asking Price</t>
        </is>
      </c>
      <c r="D3" s="13" t="inlineStr">
        <is>
          <t>Total PV</t>
        </is>
      </c>
      <c r="E3" s="13" t="inlineStr">
        <is>
          <t>Value Minus Price</t>
        </is>
      </c>
      <c r="F3" s="13" t="inlineStr">
        <is>
          <t>Decision</t>
        </is>
      </c>
    </row>
    <row r="4">
      <c r="A4" s="9" t="inlineStr">
        <is>
          <t>Elsah Coffee Cart</t>
        </is>
      </c>
      <c r="B4" s="4" t="n">
        <v>0.08</v>
      </c>
      <c r="C4" s="5" t="n">
        <v>92000</v>
      </c>
      <c r="D4" s="10">
        <f>22000/(1+B4)^1+24000/(1+B4)^2+25000/(1+B4)^3+26000/(1+B4)^4+27000/(1+B4)^5</f>
        <v/>
      </c>
      <c r="E4" s="10">
        <f>D4-C4</f>
        <v/>
      </c>
      <c r="F4" s="9">
        <f>IF(E4&gt;0,"Looks undervalued","Looks overvalued")</f>
        <v/>
      </c>
    </row>
    <row r="5">
      <c r="A5" s="9" t="inlineStr">
        <is>
          <t>Riverbend HVAC Service</t>
        </is>
      </c>
      <c r="B5" s="4" t="n">
        <v>0.14</v>
      </c>
      <c r="C5" s="5" t="n">
        <v>165000</v>
      </c>
      <c r="D5" s="10">
        <f>38000/(1+B5)^1+44000/(1+B5)^2+52000/(1+B5)^3+60000/(1+B5)^4+68000/(1+B5)^5</f>
        <v/>
      </c>
      <c r="E5" s="10">
        <f>D5-C5</f>
        <v/>
      </c>
      <c r="F5" s="9">
        <f>IF(E5&gt;0,"Looks undervalued","Looks overvalued")</f>
        <v/>
      </c>
    </row>
    <row r="6">
      <c r="A6" s="9" t="inlineStr">
        <is>
          <t>Campus Gear Rental App</t>
        </is>
      </c>
      <c r="B6" s="4" t="n">
        <v>0.24</v>
      </c>
      <c r="C6" s="5" t="n">
        <v>110000</v>
      </c>
      <c r="D6" s="10">
        <f>-8000/(1+B6)^1+12000/(1+B6)^2+34000/(1+B6)^3+75000/(1+B6)^4+130000/(1+B6)^5</f>
        <v/>
      </c>
      <c r="E6" s="10">
        <f>D6-C6</f>
        <v/>
      </c>
      <c r="F6" s="9">
        <f>IF(E6&gt;0,"Looks undervalued","Looks overvalued")</f>
        <v/>
      </c>
    </row>
    <row r="9">
      <c r="A9" s="14" t="inlineStr">
        <is>
          <t>Discussion Prompt</t>
        </is>
      </c>
    </row>
    <row r="10">
      <c r="A10" t="inlineStr">
        <is>
          <t>If your group had to buy one business, which would you choose and why?</t>
        </is>
      </c>
    </row>
  </sheetData>
  <mergeCells count="1">
    <mergeCell ref="A10:F10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24" customWidth="1" min="2" max="2"/>
    <col width="24" customWidth="1" min="3" max="3"/>
    <col width="24" customWidth="1" min="4" max="4"/>
    <col width="24" customWidth="1" min="5" max="5"/>
    <col width="24" customWidth="1" min="6" max="6"/>
    <col width="24" customWidth="1" min="7" max="7"/>
    <col width="24" customWidth="1" min="8" max="8"/>
    <col width="24" customWidth="1" min="9" max="9"/>
    <col width="24" customWidth="1" min="10" max="10"/>
    <col width="24" customWidth="1" min="11" max="11"/>
  </cols>
  <sheetData>
    <row r="1">
      <c r="A1" s="1" t="inlineStr">
        <is>
          <t>NPV Formula Version</t>
        </is>
      </c>
    </row>
    <row r="2">
      <c r="A2" t="inlineStr">
        <is>
          <t>This sheet uses Excel's NPV function directly.</t>
        </is>
      </c>
    </row>
    <row r="3">
      <c r="A3" t="inlineStr">
        <is>
          <t>NPV formula used: =NPV(discount_rate, year_1:year_5_cash_flows)</t>
        </is>
      </c>
    </row>
    <row r="4">
      <c r="A4" t="inlineStr">
        <is>
          <t>Investment value formula used: =NPV(discount_rate, cash_flows) - asking_price</t>
        </is>
      </c>
    </row>
    <row r="6">
      <c r="A6" s="6" t="inlineStr">
        <is>
          <t>Business</t>
        </is>
      </c>
      <c r="B6" s="6" t="inlineStr">
        <is>
          <t>Discount Rate</t>
        </is>
      </c>
      <c r="C6" s="6" t="inlineStr">
        <is>
          <t>Asking Price</t>
        </is>
      </c>
      <c r="D6" s="6" t="inlineStr">
        <is>
          <t>Year 1</t>
        </is>
      </c>
      <c r="E6" s="6" t="inlineStr">
        <is>
          <t>Year 2</t>
        </is>
      </c>
      <c r="F6" s="6" t="inlineStr">
        <is>
          <t>Year 3</t>
        </is>
      </c>
      <c r="G6" s="6" t="inlineStr">
        <is>
          <t>Year 4</t>
        </is>
      </c>
      <c r="H6" s="6" t="inlineStr">
        <is>
          <t>Year 5</t>
        </is>
      </c>
      <c r="I6" s="6" t="inlineStr">
        <is>
          <t>NPV of Cash Flows</t>
        </is>
      </c>
      <c r="J6" s="6" t="inlineStr">
        <is>
          <t>NPV Minus Asking Price</t>
        </is>
      </c>
      <c r="K6" s="6" t="inlineStr">
        <is>
          <t>Decision</t>
        </is>
      </c>
    </row>
    <row r="7">
      <c r="A7" s="9" t="inlineStr">
        <is>
          <t>Elsah Coffee Cart</t>
        </is>
      </c>
      <c r="B7" s="4" t="n">
        <v>0.08</v>
      </c>
      <c r="C7" s="5" t="n">
        <v>92000</v>
      </c>
      <c r="D7" s="10" t="n">
        <v>22000</v>
      </c>
      <c r="E7" s="10" t="n">
        <v>24000</v>
      </c>
      <c r="F7" s="10" t="n">
        <v>25000</v>
      </c>
      <c r="G7" s="10" t="n">
        <v>26000</v>
      </c>
      <c r="H7" s="10" t="n">
        <v>27000</v>
      </c>
      <c r="I7" s="10">
        <f>NPV(B7,D7:H7)</f>
        <v/>
      </c>
      <c r="J7" s="10">
        <f>I7-C7</f>
        <v/>
      </c>
      <c r="K7" s="9">
        <f>IF(J7&gt;0,"Looks undervalued","Looks overvalued")</f>
        <v/>
      </c>
    </row>
    <row r="8">
      <c r="A8" s="9" t="inlineStr">
        <is>
          <t>Riverbend HVAC Service</t>
        </is>
      </c>
      <c r="B8" s="4" t="n">
        <v>0.14</v>
      </c>
      <c r="C8" s="5" t="n">
        <v>165000</v>
      </c>
      <c r="D8" s="10" t="n">
        <v>38000</v>
      </c>
      <c r="E8" s="10" t="n">
        <v>44000</v>
      </c>
      <c r="F8" s="10" t="n">
        <v>52000</v>
      </c>
      <c r="G8" s="10" t="n">
        <v>60000</v>
      </c>
      <c r="H8" s="10" t="n">
        <v>68000</v>
      </c>
      <c r="I8" s="10">
        <f>NPV(B8,D8:H8)</f>
        <v/>
      </c>
      <c r="J8" s="10">
        <f>I8-C8</f>
        <v/>
      </c>
      <c r="K8" s="9">
        <f>IF(J8&gt;0,"Looks undervalued","Looks overvalued")</f>
        <v/>
      </c>
    </row>
    <row r="9">
      <c r="A9" s="9" t="inlineStr">
        <is>
          <t>Campus Gear Rental App</t>
        </is>
      </c>
      <c r="B9" s="4" t="n">
        <v>0.24</v>
      </c>
      <c r="C9" s="5" t="n">
        <v>110000</v>
      </c>
      <c r="D9" s="10" t="n">
        <v>-8000</v>
      </c>
      <c r="E9" s="10" t="n">
        <v>12000</v>
      </c>
      <c r="F9" s="10" t="n">
        <v>34000</v>
      </c>
      <c r="G9" s="10" t="n">
        <v>75000</v>
      </c>
      <c r="H9" s="10" t="n">
        <v>130000</v>
      </c>
      <c r="I9" s="10">
        <f>NPV(B9,D9:H9)</f>
        <v/>
      </c>
      <c r="J9" s="10">
        <f>I9-C9</f>
        <v/>
      </c>
      <c r="K9" s="9">
        <f>IF(J9&gt;0,"Looks undervalued","Looks overvalued")</f>
        <v/>
      </c>
    </row>
    <row r="12">
      <c r="A12" s="14" t="inlineStr">
        <is>
          <t>Student Check</t>
        </is>
      </c>
    </row>
    <row r="13">
      <c r="A13" t="inlineStr">
        <is>
          <t>How does this NPV formula sheet compare to the present-value-by-year sheet?</t>
        </is>
      </c>
    </row>
  </sheetData>
  <mergeCells count="1">
    <mergeCell ref="A13:K1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2026-10-05T14:37:06Z</dcterms:created>
  <dcterms:modified xmlns:dcterms="http://purl.org/dc/terms/" xmlns:xsi="http://www.w3.org/2001/XMLSchema-instance" xsi:type="dcterms:W3CDTF">2026-10-05T14:37:06Z</dcterms:modified>
</cp:coreProperties>
</file>